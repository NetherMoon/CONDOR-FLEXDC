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G:\My Drive\6 - Extracurriculars\Research\Peaclab\aqa_sim_data\realExperiment\"/>
    </mc:Choice>
  </mc:AlternateContent>
  <xr:revisionPtr revIDLastSave="0" documentId="13_ncr:1_{C27D1C5C-6D5C-4721-AB58-7F1641848733}" xr6:coauthVersionLast="47" xr6:coauthVersionMax="47" xr10:uidLastSave="{00000000-0000-0000-0000-000000000000}"/>
  <bookViews>
    <workbookView xWindow="-110" yWindow="-110" windowWidth="22780" windowHeight="14540" activeTab="1" xr2:uid="{00000000-000D-0000-FFFF-FFFF00000000}"/>
  </bookViews>
  <sheets>
    <sheet name="command sheet" sheetId="1" r:id="rId1"/>
    <sheet name="experiment data" sheetId="2" r:id="rId2"/>
    <sheet name="workload descrip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23" i="3" l="1"/>
  <c r="AP22" i="3"/>
  <c r="J22" i="3"/>
  <c r="R22" i="3"/>
  <c r="Z22" i="3"/>
  <c r="AH22" i="3"/>
  <c r="J23" i="3"/>
  <c r="R23" i="3"/>
  <c r="Z23" i="3"/>
  <c r="AH23" i="3"/>
  <c r="J24" i="3"/>
  <c r="R24" i="3"/>
  <c r="Z24" i="3"/>
  <c r="AH24" i="3"/>
  <c r="AP24" i="3"/>
  <c r="B24" i="3"/>
  <c r="B23" i="3"/>
  <c r="B22" i="3"/>
  <c r="C19" i="3"/>
  <c r="D19" i="3"/>
  <c r="E19" i="3"/>
  <c r="F19" i="3"/>
  <c r="G19" i="3"/>
  <c r="J19" i="3"/>
  <c r="K19" i="3"/>
  <c r="L19" i="3"/>
  <c r="M19" i="3"/>
  <c r="N19" i="3"/>
  <c r="O19" i="3"/>
  <c r="R19" i="3"/>
  <c r="S19" i="3"/>
  <c r="T19" i="3"/>
  <c r="U19" i="3"/>
  <c r="V19" i="3"/>
  <c r="W19" i="3"/>
  <c r="Z19" i="3"/>
  <c r="AA19" i="3"/>
  <c r="AB19" i="3"/>
  <c r="AC19" i="3"/>
  <c r="AD19" i="3"/>
  <c r="AE19" i="3"/>
  <c r="AH19" i="3"/>
  <c r="AI19" i="3"/>
  <c r="AJ19" i="3"/>
  <c r="AK19" i="3"/>
  <c r="AL19" i="3"/>
  <c r="AM19" i="3"/>
  <c r="AP19" i="3"/>
  <c r="AQ19" i="3"/>
  <c r="AR19" i="3"/>
  <c r="AS19" i="3"/>
  <c r="AT19" i="3"/>
  <c r="AU19" i="3"/>
  <c r="B19" i="3"/>
</calcChain>
</file>

<file path=xl/sharedStrings.xml><?xml version="1.0" encoding="utf-8"?>
<sst xmlns="http://schemas.openxmlformats.org/spreadsheetml/2006/main" count="138" uniqueCount="66">
  <si>
    <t>Default Config:</t>
  </si>
  <si>
    <t>utilization</t>
  </si>
  <si>
    <t>*** R ***</t>
  </si>
  <si>
    <t>*** P ***</t>
  </si>
  <si>
    <t xml:space="preserve">workload </t>
  </si>
  <si>
    <t>w3</t>
  </si>
  <si>
    <t>w4</t>
  </si>
  <si>
    <t>w5</t>
  </si>
  <si>
    <t>w6</t>
  </si>
  <si>
    <t>w7</t>
  </si>
  <si>
    <t>w8</t>
  </si>
  <si>
    <t>note - P/R represent initial bids found by initial long search, which is run at a 10 second time step</t>
  </si>
  <si>
    <t>T1/T5 represent 5 validation runs - each run at 1 second time step</t>
  </si>
  <si>
    <t>python -u GPSgridsearch.py -p GPS -x exp10-w[x]-util[y] --control-step-seconds=1 --profileConfig ../configs/q_grid_search/scc-zi4-applications.ini --experimentConfig ../configs/q_grid_search/W[z].ini --simulation 50 --phase-length=10800 --perf-variation=0.00</t>
  </si>
  <si>
    <t>python -u GPSgridsearch.py -p GPS -x exp10-w3-util5 --control-step-seconds=1 --experimentConfig "../configs/q_grid_search/W3.ini" --profileConfig "../configs/q_grid_search/scc-applications-20200108.ini" --clientConfig "../configs/q_grid_search/clients-zi4.ini"  --phase-length=10800  --simulation 500</t>
  </si>
  <si>
    <t>*** Pcoef ***</t>
  </si>
  <si>
    <t>*** Rcoef ***</t>
  </si>
  <si>
    <t>notes</t>
  </si>
  <si>
    <t>might want to rerun this</t>
  </si>
  <si>
    <t>W3</t>
  </si>
  <si>
    <t>ep.D.88=4</t>
  </si>
  <si>
    <t>sp.D.100=4</t>
  </si>
  <si>
    <t>lu.D.224=8</t>
  </si>
  <si>
    <t>ft.D.128=6</t>
  </si>
  <si>
    <t>sp.D.196=8</t>
  </si>
  <si>
    <t>cg.D.128=6</t>
  </si>
  <si>
    <t>ep.D.100=4</t>
  </si>
  <si>
    <t>is.D.64=4</t>
  </si>
  <si>
    <t>min_power</t>
  </si>
  <si>
    <t>max_power</t>
  </si>
  <si>
    <t>min_time</t>
  </si>
  <si>
    <t>max_time</t>
  </si>
  <si>
    <t>qos</t>
  </si>
  <si>
    <t>W4</t>
  </si>
  <si>
    <t>mg.D.16</t>
  </si>
  <si>
    <t>sp.C.16</t>
  </si>
  <si>
    <t>is.D.32=3</t>
  </si>
  <si>
    <t>ep.D.64=3</t>
  </si>
  <si>
    <t>cg.C.4</t>
  </si>
  <si>
    <t>lu.C.28</t>
  </si>
  <si>
    <t>mg.D.32=2</t>
  </si>
  <si>
    <t>nodes</t>
  </si>
  <si>
    <t>W5</t>
  </si>
  <si>
    <t>bt.D.49=2</t>
  </si>
  <si>
    <t>ep.D.28</t>
  </si>
  <si>
    <t>bt.D.25</t>
  </si>
  <si>
    <t>mg.D.8</t>
  </si>
  <si>
    <t>is.D.4</t>
  </si>
  <si>
    <t>cg.D.32=3</t>
  </si>
  <si>
    <t>W6</t>
  </si>
  <si>
    <t>lu.D.28</t>
  </si>
  <si>
    <t>bt.C.36=2</t>
  </si>
  <si>
    <t>W7</t>
  </si>
  <si>
    <t>W8</t>
  </si>
  <si>
    <t>bt.C.16</t>
  </si>
  <si>
    <t>bt.C.25</t>
  </si>
  <si>
    <t>sp.D.16</t>
  </si>
  <si>
    <t>cg.D.16</t>
  </si>
  <si>
    <t>ft.D.64=3</t>
  </si>
  <si>
    <t>note - the cg.C.4 mix is cooked it has a minimum time higher than the maximum time</t>
  </si>
  <si>
    <t>Averages:</t>
  </si>
  <si>
    <t xml:space="preserve">* Features * </t>
  </si>
  <si>
    <t>Avg Power:</t>
  </si>
  <si>
    <t>Avg Time:</t>
  </si>
  <si>
    <t>Avg Nodes:</t>
  </si>
  <si>
    <t>Num Jobs: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</si>
</sst>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5"/>
  <sheetViews>
    <sheetView workbookViewId="0">
      <selection activeCell="J3" sqref="J3"/>
    </sheetView>
  </sheetViews>
  <sheetFormatPr defaultRowHeight="14.5" x14ac:dyDescent="0.35"/>
  <cols>
    <col min="2" max="2" width="13" customWidth="1"/>
    <col min="3" max="3" width="49.26953125" customWidth="1"/>
  </cols>
  <sheetData>
    <row r="3" spans="2:3" ht="150.65" customHeight="1" x14ac:dyDescent="0.35">
      <c r="B3" t="s">
        <v>0</v>
      </c>
      <c r="C3" s="1" t="s">
        <v>13</v>
      </c>
    </row>
    <row r="5" spans="2:3" x14ac:dyDescent="0.35">
      <c r="C5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E279D-8386-4259-9051-97E495A862DF}">
  <dimension ref="A2:Y21"/>
  <sheetViews>
    <sheetView tabSelected="1" workbookViewId="0">
      <selection activeCell="Q18" sqref="Q18"/>
    </sheetView>
  </sheetViews>
  <sheetFormatPr defaultRowHeight="14.5" x14ac:dyDescent="0.35"/>
  <cols>
    <col min="1" max="1" width="13.1796875" customWidth="1"/>
  </cols>
  <sheetData>
    <row r="2" spans="1:25" x14ac:dyDescent="0.35">
      <c r="A2" t="s">
        <v>4</v>
      </c>
      <c r="B2" t="s">
        <v>5</v>
      </c>
      <c r="F2" t="s">
        <v>6</v>
      </c>
      <c r="J2" t="s">
        <v>7</v>
      </c>
      <c r="N2" t="s">
        <v>8</v>
      </c>
      <c r="R2" t="s">
        <v>9</v>
      </c>
      <c r="V2" t="s">
        <v>10</v>
      </c>
    </row>
    <row r="3" spans="1:25" ht="15" thickBot="1" x14ac:dyDescent="0.4">
      <c r="A3" t="s">
        <v>1</v>
      </c>
      <c r="B3">
        <v>0.5</v>
      </c>
      <c r="C3">
        <v>0.75</v>
      </c>
      <c r="D3">
        <v>0.9</v>
      </c>
      <c r="E3">
        <v>0.99</v>
      </c>
      <c r="F3">
        <v>0.5</v>
      </c>
      <c r="G3">
        <v>0.75</v>
      </c>
      <c r="H3">
        <v>0.9</v>
      </c>
      <c r="I3">
        <v>0.99</v>
      </c>
      <c r="J3">
        <v>0.5</v>
      </c>
      <c r="K3">
        <v>0.75</v>
      </c>
      <c r="L3">
        <v>0.9</v>
      </c>
      <c r="M3">
        <v>0.99</v>
      </c>
      <c r="N3">
        <v>0.5</v>
      </c>
      <c r="O3">
        <v>0.75</v>
      </c>
      <c r="P3">
        <v>0.9</v>
      </c>
      <c r="Q3">
        <v>0.99</v>
      </c>
      <c r="R3">
        <v>0.5</v>
      </c>
      <c r="S3">
        <v>0.75</v>
      </c>
      <c r="T3">
        <v>0.9</v>
      </c>
      <c r="U3">
        <v>0.99</v>
      </c>
      <c r="V3">
        <v>0.5</v>
      </c>
      <c r="W3">
        <v>0.75</v>
      </c>
      <c r="X3">
        <v>0.9</v>
      </c>
      <c r="Y3">
        <v>0.99</v>
      </c>
    </row>
    <row r="4" spans="1:25" ht="15" thickBot="1" x14ac:dyDescent="0.4">
      <c r="A4" t="s">
        <v>3</v>
      </c>
      <c r="B4">
        <v>150210</v>
      </c>
      <c r="C4" s="2">
        <v>152175</v>
      </c>
      <c r="D4" s="2">
        <v>172093</v>
      </c>
      <c r="F4" s="2">
        <v>127769</v>
      </c>
      <c r="G4" s="2">
        <v>147690</v>
      </c>
      <c r="H4" s="2">
        <v>162804</v>
      </c>
      <c r="J4" s="2">
        <v>124400</v>
      </c>
      <c r="K4" s="2">
        <v>140677</v>
      </c>
      <c r="L4" s="2">
        <v>182150</v>
      </c>
      <c r="N4" s="2">
        <v>140329</v>
      </c>
      <c r="O4" s="2">
        <v>163823</v>
      </c>
      <c r="P4" s="2">
        <v>182150</v>
      </c>
      <c r="R4" s="2">
        <v>132226</v>
      </c>
      <c r="S4" s="2">
        <v>153083</v>
      </c>
      <c r="T4" s="2">
        <v>168807</v>
      </c>
      <c r="V4" s="2">
        <v>119480</v>
      </c>
      <c r="W4" s="2">
        <v>136044</v>
      </c>
      <c r="X4" s="2">
        <v>141947</v>
      </c>
    </row>
    <row r="5" spans="1:25" ht="15" thickBot="1" x14ac:dyDescent="0.4">
      <c r="A5" t="s">
        <v>15</v>
      </c>
      <c r="B5">
        <v>1.1469830000000001</v>
      </c>
      <c r="C5" s="2">
        <v>0.98692299999999999</v>
      </c>
      <c r="D5" s="2">
        <v>1.0235730000000001</v>
      </c>
      <c r="F5" s="2">
        <v>1.015803</v>
      </c>
      <c r="G5" s="2">
        <v>1.008661</v>
      </c>
      <c r="H5" s="2">
        <v>1.025174</v>
      </c>
      <c r="J5" s="2">
        <v>0.98412900000000003</v>
      </c>
      <c r="K5" s="2">
        <v>0.95465299999999997</v>
      </c>
      <c r="L5" s="2">
        <v>1</v>
      </c>
      <c r="N5" s="2">
        <v>1.0113799999999999</v>
      </c>
      <c r="O5" s="2">
        <v>0.98762899999999998</v>
      </c>
      <c r="P5" s="2">
        <v>1</v>
      </c>
      <c r="R5" s="2">
        <v>1.015293</v>
      </c>
      <c r="S5" s="2">
        <v>0.99987899999999996</v>
      </c>
      <c r="T5" s="2">
        <v>1.0119</v>
      </c>
      <c r="V5" s="2">
        <v>1.016581</v>
      </c>
      <c r="W5" s="2">
        <v>1.014899</v>
      </c>
      <c r="X5" s="2">
        <v>0.986043</v>
      </c>
    </row>
    <row r="9" spans="1:25" ht="15" thickBot="1" x14ac:dyDescent="0.4"/>
    <row r="10" spans="1:25" ht="15" thickBot="1" x14ac:dyDescent="0.4">
      <c r="A10" t="s">
        <v>2</v>
      </c>
      <c r="B10">
        <v>29608</v>
      </c>
      <c r="C10" s="2">
        <v>14299</v>
      </c>
      <c r="D10" s="2">
        <v>25847</v>
      </c>
      <c r="F10" s="2">
        <v>20266</v>
      </c>
      <c r="G10" s="2">
        <v>27638</v>
      </c>
      <c r="H10" s="2">
        <v>21768</v>
      </c>
      <c r="J10" s="2">
        <v>27631</v>
      </c>
      <c r="K10" s="2">
        <v>31624</v>
      </c>
      <c r="L10" s="2">
        <v>31539</v>
      </c>
      <c r="N10" s="2">
        <v>29597</v>
      </c>
      <c r="O10" s="2">
        <v>19973</v>
      </c>
      <c r="P10" s="2">
        <v>31539</v>
      </c>
      <c r="R10" s="2">
        <v>18916</v>
      </c>
      <c r="S10" s="2">
        <v>21418</v>
      </c>
      <c r="T10" s="2">
        <v>23924</v>
      </c>
      <c r="V10" s="2">
        <v>9293</v>
      </c>
      <c r="W10" s="2">
        <v>14294</v>
      </c>
      <c r="X10" s="2">
        <v>12282</v>
      </c>
    </row>
    <row r="11" spans="1:25" ht="15" thickBot="1" x14ac:dyDescent="0.4">
      <c r="A11" t="s">
        <v>16</v>
      </c>
      <c r="B11">
        <v>0.63726700000000003</v>
      </c>
      <c r="C11" s="2">
        <v>0.30776399999999998</v>
      </c>
      <c r="D11" s="2">
        <v>0.55631699999999995</v>
      </c>
      <c r="F11" s="2">
        <v>0.490925</v>
      </c>
      <c r="G11" s="2">
        <v>0.66950500000000002</v>
      </c>
      <c r="H11" s="2">
        <v>0.52730999999999995</v>
      </c>
      <c r="J11" s="2">
        <v>0.65935299999999997</v>
      </c>
      <c r="K11" s="2">
        <v>0.754637</v>
      </c>
      <c r="L11" s="2">
        <v>0.58136399999999999</v>
      </c>
      <c r="N11" s="2">
        <v>0.54556700000000002</v>
      </c>
      <c r="O11" s="2">
        <v>0.36816599999999999</v>
      </c>
      <c r="P11" s="2">
        <v>0.58136399999999999</v>
      </c>
      <c r="R11" s="2">
        <v>0.41360599999999997</v>
      </c>
      <c r="S11" s="2">
        <v>0.46831299999999998</v>
      </c>
      <c r="T11" s="2">
        <v>0.52310800000000002</v>
      </c>
      <c r="V11" s="2">
        <v>0.28133999999999998</v>
      </c>
      <c r="W11" s="2">
        <v>0.43274200000000002</v>
      </c>
      <c r="X11" s="2">
        <v>0.37182999999999999</v>
      </c>
    </row>
    <row r="13" spans="1:25" x14ac:dyDescent="0.35">
      <c r="A13" t="s">
        <v>17</v>
      </c>
      <c r="O13" t="s">
        <v>18</v>
      </c>
    </row>
    <row r="20" spans="2:2" x14ac:dyDescent="0.35">
      <c r="B20" t="s">
        <v>11</v>
      </c>
    </row>
    <row r="21" spans="2:2" x14ac:dyDescent="0.35">
      <c r="B21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B738C-3087-4DCC-B4B2-7A274F828C60}">
  <dimension ref="A1:AU37"/>
  <sheetViews>
    <sheetView workbookViewId="0">
      <selection activeCell="K25" sqref="K25"/>
    </sheetView>
  </sheetViews>
  <sheetFormatPr defaultRowHeight="14.5" x14ac:dyDescent="0.35"/>
  <cols>
    <col min="1" max="1" width="11.36328125" customWidth="1"/>
    <col min="2" max="2" width="11.26953125" customWidth="1"/>
    <col min="3" max="3" width="11.6328125" customWidth="1"/>
    <col min="4" max="4" width="9.26953125" customWidth="1"/>
    <col min="5" max="5" width="9.36328125" customWidth="1"/>
  </cols>
  <sheetData>
    <row r="1" spans="1:47" x14ac:dyDescent="0.35">
      <c r="A1" t="s">
        <v>19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41</v>
      </c>
      <c r="I1" t="s">
        <v>33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41</v>
      </c>
      <c r="Q1" t="s">
        <v>42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41</v>
      </c>
      <c r="Y1" t="s">
        <v>49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41</v>
      </c>
      <c r="AG1" t="s">
        <v>52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41</v>
      </c>
      <c r="AO1" t="s">
        <v>53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41</v>
      </c>
    </row>
    <row r="2" spans="1:47" x14ac:dyDescent="0.35">
      <c r="A2" t="s">
        <v>20</v>
      </c>
      <c r="B2">
        <v>237</v>
      </c>
      <c r="C2">
        <v>359.75</v>
      </c>
      <c r="D2">
        <v>40</v>
      </c>
      <c r="E2">
        <v>53</v>
      </c>
      <c r="F2">
        <v>1.4</v>
      </c>
      <c r="G2">
        <v>4</v>
      </c>
      <c r="I2" t="s">
        <v>34</v>
      </c>
      <c r="J2">
        <v>266</v>
      </c>
      <c r="K2">
        <v>380</v>
      </c>
      <c r="L2">
        <v>84</v>
      </c>
      <c r="M2">
        <v>105</v>
      </c>
      <c r="N2">
        <v>0.8</v>
      </c>
      <c r="O2">
        <v>1</v>
      </c>
      <c r="Q2" t="s">
        <v>43</v>
      </c>
      <c r="R2">
        <v>250</v>
      </c>
      <c r="S2">
        <v>391</v>
      </c>
      <c r="T2">
        <v>551</v>
      </c>
      <c r="U2">
        <v>729</v>
      </c>
      <c r="V2">
        <v>1.5</v>
      </c>
      <c r="W2">
        <v>2</v>
      </c>
      <c r="Y2" t="s">
        <v>50</v>
      </c>
      <c r="Z2">
        <v>270</v>
      </c>
      <c r="AA2">
        <v>429</v>
      </c>
      <c r="AB2">
        <v>763</v>
      </c>
      <c r="AC2">
        <v>954</v>
      </c>
      <c r="AD2">
        <v>1.4</v>
      </c>
      <c r="AE2">
        <v>1</v>
      </c>
      <c r="AG2" t="s">
        <v>54</v>
      </c>
      <c r="AH2">
        <v>249</v>
      </c>
      <c r="AI2">
        <v>339</v>
      </c>
      <c r="AJ2">
        <v>72.7</v>
      </c>
      <c r="AK2">
        <v>86.3</v>
      </c>
      <c r="AL2">
        <v>1.1000000000000001</v>
      </c>
      <c r="AM2">
        <v>1</v>
      </c>
      <c r="AO2" t="s">
        <v>54</v>
      </c>
      <c r="AP2">
        <v>249</v>
      </c>
      <c r="AQ2">
        <v>339</v>
      </c>
      <c r="AR2">
        <v>72.7</v>
      </c>
      <c r="AS2">
        <v>86.3</v>
      </c>
      <c r="AT2">
        <v>1.1000000000000001</v>
      </c>
      <c r="AU2">
        <v>1</v>
      </c>
    </row>
    <row r="3" spans="1:47" x14ac:dyDescent="0.35">
      <c r="A3" t="s">
        <v>21</v>
      </c>
      <c r="B3">
        <v>264</v>
      </c>
      <c r="C3">
        <v>399</v>
      </c>
      <c r="D3">
        <v>343</v>
      </c>
      <c r="E3">
        <v>381</v>
      </c>
      <c r="F3">
        <v>1</v>
      </c>
      <c r="G3">
        <v>4</v>
      </c>
      <c r="I3" t="s">
        <v>35</v>
      </c>
      <c r="J3">
        <v>267</v>
      </c>
      <c r="K3">
        <v>375</v>
      </c>
      <c r="L3">
        <v>53.9</v>
      </c>
      <c r="M3">
        <v>61.6</v>
      </c>
      <c r="N3">
        <v>0.7</v>
      </c>
      <c r="O3">
        <v>1</v>
      </c>
      <c r="Q3" t="s">
        <v>21</v>
      </c>
      <c r="R3">
        <v>264</v>
      </c>
      <c r="S3">
        <v>399</v>
      </c>
      <c r="T3">
        <v>343</v>
      </c>
      <c r="U3">
        <v>381</v>
      </c>
      <c r="V3">
        <v>1</v>
      </c>
      <c r="W3">
        <v>4</v>
      </c>
      <c r="Y3" t="s">
        <v>51</v>
      </c>
      <c r="Z3">
        <v>249</v>
      </c>
      <c r="AA3">
        <v>343</v>
      </c>
      <c r="AB3">
        <v>38</v>
      </c>
      <c r="AC3">
        <v>46</v>
      </c>
      <c r="AD3">
        <v>1</v>
      </c>
      <c r="AE3">
        <v>2</v>
      </c>
      <c r="AG3" t="s">
        <v>55</v>
      </c>
      <c r="AH3">
        <v>276</v>
      </c>
      <c r="AI3">
        <v>402</v>
      </c>
      <c r="AJ3">
        <v>52.6</v>
      </c>
      <c r="AK3">
        <v>70.3</v>
      </c>
      <c r="AL3">
        <v>1.1000000000000001</v>
      </c>
      <c r="AM3">
        <v>1</v>
      </c>
      <c r="AO3" t="s">
        <v>36</v>
      </c>
      <c r="AP3">
        <v>241</v>
      </c>
      <c r="AQ3">
        <v>249</v>
      </c>
      <c r="AR3">
        <v>42</v>
      </c>
      <c r="AS3">
        <v>42</v>
      </c>
      <c r="AT3">
        <v>1.2</v>
      </c>
      <c r="AU3">
        <v>3</v>
      </c>
    </row>
    <row r="4" spans="1:47" x14ac:dyDescent="0.35">
      <c r="A4" t="s">
        <v>22</v>
      </c>
      <c r="B4">
        <v>250</v>
      </c>
      <c r="C4">
        <v>400</v>
      </c>
      <c r="D4">
        <v>89</v>
      </c>
      <c r="E4">
        <v>119</v>
      </c>
      <c r="F4">
        <v>1.4</v>
      </c>
      <c r="G4">
        <v>9</v>
      </c>
      <c r="I4" t="s">
        <v>36</v>
      </c>
      <c r="J4">
        <v>241</v>
      </c>
      <c r="K4">
        <v>249</v>
      </c>
      <c r="L4">
        <v>42</v>
      </c>
      <c r="M4">
        <v>42</v>
      </c>
      <c r="N4">
        <v>1.2</v>
      </c>
      <c r="O4">
        <v>3</v>
      </c>
      <c r="Q4" t="s">
        <v>44</v>
      </c>
      <c r="R4">
        <v>238</v>
      </c>
      <c r="S4">
        <v>383</v>
      </c>
      <c r="T4">
        <v>124</v>
      </c>
      <c r="U4">
        <v>175</v>
      </c>
      <c r="V4">
        <v>0.6</v>
      </c>
      <c r="W4">
        <v>1</v>
      </c>
      <c r="AG4" t="s">
        <v>34</v>
      </c>
      <c r="AH4">
        <v>266</v>
      </c>
      <c r="AI4">
        <v>380</v>
      </c>
      <c r="AJ4">
        <v>84</v>
      </c>
      <c r="AK4">
        <v>105</v>
      </c>
      <c r="AL4">
        <v>0.8</v>
      </c>
      <c r="AM4">
        <v>1</v>
      </c>
      <c r="AO4" t="s">
        <v>51</v>
      </c>
      <c r="AP4">
        <v>249</v>
      </c>
      <c r="AQ4">
        <v>343</v>
      </c>
      <c r="AR4">
        <v>38</v>
      </c>
      <c r="AS4">
        <v>46</v>
      </c>
      <c r="AT4">
        <v>1</v>
      </c>
      <c r="AU4">
        <v>2</v>
      </c>
    </row>
    <row r="5" spans="1:47" x14ac:dyDescent="0.35">
      <c r="A5" t="s">
        <v>23</v>
      </c>
      <c r="B5">
        <v>242</v>
      </c>
      <c r="C5">
        <v>321</v>
      </c>
      <c r="D5">
        <v>165</v>
      </c>
      <c r="E5">
        <v>179</v>
      </c>
      <c r="F5">
        <v>1.6</v>
      </c>
      <c r="G5">
        <v>6</v>
      </c>
      <c r="I5" t="s">
        <v>37</v>
      </c>
      <c r="J5">
        <v>237</v>
      </c>
      <c r="K5">
        <v>353</v>
      </c>
      <c r="L5">
        <v>54</v>
      </c>
      <c r="M5">
        <v>70.5</v>
      </c>
      <c r="N5">
        <v>1.2</v>
      </c>
      <c r="O5">
        <v>3</v>
      </c>
      <c r="Q5" t="s">
        <v>45</v>
      </c>
      <c r="R5">
        <v>254</v>
      </c>
      <c r="S5">
        <v>402</v>
      </c>
      <c r="T5">
        <v>1022</v>
      </c>
      <c r="U5">
        <v>1370</v>
      </c>
      <c r="V5">
        <v>2</v>
      </c>
      <c r="W5">
        <v>1</v>
      </c>
      <c r="AG5" t="s">
        <v>35</v>
      </c>
      <c r="AH5">
        <v>267</v>
      </c>
      <c r="AI5">
        <v>375</v>
      </c>
      <c r="AJ5">
        <v>53.9</v>
      </c>
      <c r="AK5">
        <v>61.6</v>
      </c>
      <c r="AL5">
        <v>0.7</v>
      </c>
      <c r="AM5">
        <v>1</v>
      </c>
      <c r="AO5" t="s">
        <v>38</v>
      </c>
      <c r="AP5">
        <v>239</v>
      </c>
      <c r="AQ5">
        <v>238</v>
      </c>
      <c r="AR5">
        <v>27.8</v>
      </c>
      <c r="AS5">
        <v>28.1</v>
      </c>
      <c r="AT5">
        <v>1.8</v>
      </c>
      <c r="AU5">
        <v>1</v>
      </c>
    </row>
    <row r="6" spans="1:47" x14ac:dyDescent="0.35">
      <c r="A6" t="s">
        <v>24</v>
      </c>
      <c r="B6">
        <v>253</v>
      </c>
      <c r="C6">
        <v>370</v>
      </c>
      <c r="D6">
        <v>329</v>
      </c>
      <c r="E6">
        <v>352</v>
      </c>
      <c r="F6">
        <v>1.2</v>
      </c>
      <c r="G6">
        <v>8</v>
      </c>
      <c r="I6" t="s">
        <v>38</v>
      </c>
      <c r="J6">
        <v>239</v>
      </c>
      <c r="K6">
        <v>238</v>
      </c>
      <c r="L6">
        <v>27.8</v>
      </c>
      <c r="M6">
        <v>28.1</v>
      </c>
      <c r="N6">
        <v>1.8</v>
      </c>
      <c r="O6">
        <v>1</v>
      </c>
      <c r="Q6" t="s">
        <v>46</v>
      </c>
      <c r="R6">
        <v>258</v>
      </c>
      <c r="S6">
        <v>297</v>
      </c>
      <c r="T6">
        <v>141</v>
      </c>
      <c r="U6">
        <v>151</v>
      </c>
      <c r="V6">
        <v>1.6</v>
      </c>
      <c r="W6">
        <v>1</v>
      </c>
      <c r="AG6" t="s">
        <v>36</v>
      </c>
      <c r="AH6">
        <v>241</v>
      </c>
      <c r="AI6">
        <v>249</v>
      </c>
      <c r="AJ6">
        <v>42</v>
      </c>
      <c r="AK6">
        <v>42</v>
      </c>
      <c r="AL6">
        <v>1.2</v>
      </c>
      <c r="AM6">
        <v>3</v>
      </c>
      <c r="AO6" t="s">
        <v>46</v>
      </c>
      <c r="AP6">
        <v>258</v>
      </c>
      <c r="AQ6">
        <v>297</v>
      </c>
      <c r="AR6">
        <v>141</v>
      </c>
      <c r="AS6">
        <v>151</v>
      </c>
      <c r="AT6">
        <v>1.6</v>
      </c>
      <c r="AU6">
        <v>1</v>
      </c>
    </row>
    <row r="7" spans="1:47" x14ac:dyDescent="0.35">
      <c r="A7" t="s">
        <v>25</v>
      </c>
      <c r="B7">
        <v>246</v>
      </c>
      <c r="C7">
        <v>336</v>
      </c>
      <c r="D7">
        <v>231</v>
      </c>
      <c r="E7">
        <v>242</v>
      </c>
      <c r="F7">
        <v>0.9</v>
      </c>
      <c r="G7">
        <v>6</v>
      </c>
      <c r="I7" t="s">
        <v>39</v>
      </c>
      <c r="J7">
        <v>255</v>
      </c>
      <c r="K7">
        <v>413</v>
      </c>
      <c r="L7">
        <v>29</v>
      </c>
      <c r="M7">
        <v>43</v>
      </c>
      <c r="N7">
        <v>1.7</v>
      </c>
      <c r="O7">
        <v>1</v>
      </c>
      <c r="Q7" t="s">
        <v>47</v>
      </c>
      <c r="R7">
        <v>194</v>
      </c>
      <c r="S7">
        <v>204</v>
      </c>
      <c r="T7">
        <v>122</v>
      </c>
      <c r="U7">
        <v>123</v>
      </c>
      <c r="V7">
        <v>1.7</v>
      </c>
      <c r="W7">
        <v>1</v>
      </c>
      <c r="AG7" t="s">
        <v>51</v>
      </c>
      <c r="AH7">
        <v>249</v>
      </c>
      <c r="AI7">
        <v>343</v>
      </c>
      <c r="AJ7">
        <v>38</v>
      </c>
      <c r="AK7">
        <v>46</v>
      </c>
      <c r="AL7">
        <v>1</v>
      </c>
      <c r="AM7">
        <v>2</v>
      </c>
      <c r="AO7" t="s">
        <v>57</v>
      </c>
      <c r="AP7">
        <v>253</v>
      </c>
      <c r="AQ7">
        <v>326</v>
      </c>
      <c r="AR7">
        <v>783</v>
      </c>
      <c r="AS7">
        <v>823</v>
      </c>
      <c r="AT7">
        <v>0.5</v>
      </c>
      <c r="AU7">
        <v>1</v>
      </c>
    </row>
    <row r="8" spans="1:47" x14ac:dyDescent="0.35">
      <c r="A8" t="s">
        <v>26</v>
      </c>
      <c r="B8">
        <v>328</v>
      </c>
      <c r="C8">
        <v>366</v>
      </c>
      <c r="D8">
        <v>36</v>
      </c>
      <c r="E8">
        <v>49</v>
      </c>
      <c r="F8">
        <v>1.5</v>
      </c>
      <c r="G8">
        <v>4</v>
      </c>
      <c r="I8" t="s">
        <v>27</v>
      </c>
      <c r="J8">
        <v>228</v>
      </c>
      <c r="K8">
        <v>287</v>
      </c>
      <c r="L8">
        <v>27.3</v>
      </c>
      <c r="M8">
        <v>27.7</v>
      </c>
      <c r="N8">
        <v>2</v>
      </c>
      <c r="O8">
        <v>4</v>
      </c>
      <c r="Q8" t="s">
        <v>25</v>
      </c>
      <c r="R8">
        <v>246</v>
      </c>
      <c r="S8">
        <v>336</v>
      </c>
      <c r="T8">
        <v>231</v>
      </c>
      <c r="U8">
        <v>242</v>
      </c>
      <c r="V8">
        <v>0.9</v>
      </c>
      <c r="W8">
        <v>6</v>
      </c>
      <c r="AG8" t="s">
        <v>43</v>
      </c>
      <c r="AH8">
        <v>250</v>
      </c>
      <c r="AI8">
        <v>391</v>
      </c>
      <c r="AJ8">
        <v>551</v>
      </c>
      <c r="AK8">
        <v>729</v>
      </c>
      <c r="AL8">
        <v>1.5</v>
      </c>
      <c r="AM8">
        <v>2</v>
      </c>
      <c r="AO8" t="s">
        <v>25</v>
      </c>
      <c r="AP8">
        <v>246</v>
      </c>
      <c r="AQ8">
        <v>336</v>
      </c>
      <c r="AR8">
        <v>231</v>
      </c>
      <c r="AS8">
        <v>242</v>
      </c>
      <c r="AT8">
        <v>0.9</v>
      </c>
      <c r="AU8">
        <v>6</v>
      </c>
    </row>
    <row r="9" spans="1:47" x14ac:dyDescent="0.35">
      <c r="A9" t="s">
        <v>27</v>
      </c>
      <c r="B9">
        <v>228</v>
      </c>
      <c r="C9">
        <v>287</v>
      </c>
      <c r="D9">
        <v>27.3</v>
      </c>
      <c r="E9">
        <v>27.7</v>
      </c>
      <c r="F9">
        <v>2</v>
      </c>
      <c r="G9">
        <v>4</v>
      </c>
      <c r="I9" t="s">
        <v>40</v>
      </c>
      <c r="J9">
        <v>266</v>
      </c>
      <c r="K9">
        <v>378</v>
      </c>
      <c r="L9">
        <v>49</v>
      </c>
      <c r="M9">
        <v>57.5</v>
      </c>
      <c r="N9">
        <v>1.8</v>
      </c>
      <c r="O9">
        <v>2</v>
      </c>
      <c r="Q9" t="s">
        <v>48</v>
      </c>
      <c r="R9">
        <v>246</v>
      </c>
      <c r="S9">
        <v>281</v>
      </c>
      <c r="T9">
        <v>364</v>
      </c>
      <c r="U9">
        <v>390</v>
      </c>
      <c r="V9">
        <v>0.8</v>
      </c>
      <c r="W9">
        <v>3</v>
      </c>
      <c r="AG9" t="s">
        <v>37</v>
      </c>
      <c r="AH9">
        <v>237</v>
      </c>
      <c r="AI9">
        <v>353</v>
      </c>
      <c r="AJ9">
        <v>54</v>
      </c>
      <c r="AK9">
        <v>70.5</v>
      </c>
      <c r="AL9">
        <v>1.2</v>
      </c>
      <c r="AM9">
        <v>3</v>
      </c>
      <c r="AO9" t="s">
        <v>48</v>
      </c>
      <c r="AP9">
        <v>246</v>
      </c>
      <c r="AQ9">
        <v>281</v>
      </c>
      <c r="AR9">
        <v>364</v>
      </c>
      <c r="AS9">
        <v>390</v>
      </c>
      <c r="AT9">
        <v>0.8</v>
      </c>
      <c r="AU9">
        <v>3</v>
      </c>
    </row>
    <row r="10" spans="1:47" x14ac:dyDescent="0.35">
      <c r="AG10" t="s">
        <v>21</v>
      </c>
      <c r="AH10">
        <v>264</v>
      </c>
      <c r="AI10">
        <v>399</v>
      </c>
      <c r="AJ10">
        <v>343</v>
      </c>
      <c r="AK10">
        <v>381</v>
      </c>
      <c r="AL10">
        <v>1</v>
      </c>
      <c r="AM10">
        <v>4</v>
      </c>
    </row>
    <row r="11" spans="1:47" x14ac:dyDescent="0.35">
      <c r="AG11" t="s">
        <v>45</v>
      </c>
      <c r="AH11">
        <v>254</v>
      </c>
      <c r="AI11">
        <v>402</v>
      </c>
      <c r="AJ11">
        <v>1022</v>
      </c>
      <c r="AK11">
        <v>1370</v>
      </c>
      <c r="AL11">
        <v>2</v>
      </c>
      <c r="AM11">
        <v>1</v>
      </c>
    </row>
    <row r="12" spans="1:47" x14ac:dyDescent="0.35">
      <c r="AG12" t="s">
        <v>46</v>
      </c>
      <c r="AH12">
        <v>258</v>
      </c>
      <c r="AI12">
        <v>297</v>
      </c>
      <c r="AJ12">
        <v>141</v>
      </c>
      <c r="AK12">
        <v>151</v>
      </c>
      <c r="AL12">
        <v>1.6</v>
      </c>
      <c r="AM12">
        <v>1</v>
      </c>
    </row>
    <row r="13" spans="1:47" x14ac:dyDescent="0.35">
      <c r="AG13" t="s">
        <v>56</v>
      </c>
      <c r="AH13">
        <v>270</v>
      </c>
      <c r="AI13">
        <v>355</v>
      </c>
      <c r="AJ13">
        <v>1165</v>
      </c>
      <c r="AK13">
        <v>1302</v>
      </c>
      <c r="AL13">
        <v>1</v>
      </c>
      <c r="AM13">
        <v>1</v>
      </c>
    </row>
    <row r="14" spans="1:47" x14ac:dyDescent="0.35">
      <c r="AG14" t="s">
        <v>57</v>
      </c>
      <c r="AH14">
        <v>253</v>
      </c>
      <c r="AI14">
        <v>326</v>
      </c>
      <c r="AJ14">
        <v>783</v>
      </c>
      <c r="AK14">
        <v>823</v>
      </c>
      <c r="AL14">
        <v>0.5</v>
      </c>
      <c r="AM14">
        <v>1</v>
      </c>
    </row>
    <row r="15" spans="1:47" x14ac:dyDescent="0.35">
      <c r="AG15" t="s">
        <v>58</v>
      </c>
      <c r="AH15">
        <v>247</v>
      </c>
      <c r="AI15">
        <v>321</v>
      </c>
      <c r="AJ15">
        <v>284</v>
      </c>
      <c r="AK15">
        <v>313</v>
      </c>
      <c r="AL15">
        <v>0.8</v>
      </c>
      <c r="AM15">
        <v>3</v>
      </c>
    </row>
    <row r="16" spans="1:47" x14ac:dyDescent="0.35">
      <c r="AG16" t="s">
        <v>23</v>
      </c>
      <c r="AH16">
        <v>242</v>
      </c>
      <c r="AI16">
        <v>321</v>
      </c>
      <c r="AJ16">
        <v>165</v>
      </c>
      <c r="AK16">
        <v>179</v>
      </c>
      <c r="AL16">
        <v>1.6</v>
      </c>
      <c r="AM16">
        <v>6</v>
      </c>
    </row>
    <row r="17" spans="1:47" x14ac:dyDescent="0.35">
      <c r="AG17" t="s">
        <v>40</v>
      </c>
      <c r="AH17">
        <v>266</v>
      </c>
      <c r="AI17">
        <v>378</v>
      </c>
      <c r="AJ17">
        <v>49</v>
      </c>
      <c r="AK17">
        <v>57.5</v>
      </c>
      <c r="AL17">
        <v>1.8</v>
      </c>
      <c r="AM17">
        <v>2</v>
      </c>
    </row>
    <row r="19" spans="1:47" x14ac:dyDescent="0.35">
      <c r="A19" t="s">
        <v>60</v>
      </c>
      <c r="B19">
        <f>AVERAGE(B2:B18)</f>
        <v>256</v>
      </c>
      <c r="C19">
        <f t="shared" ref="C19:AU19" si="0">AVERAGE(C2:C18)</f>
        <v>354.84375</v>
      </c>
      <c r="D19">
        <f t="shared" si="0"/>
        <v>157.53749999999999</v>
      </c>
      <c r="E19">
        <f t="shared" si="0"/>
        <v>175.33750000000001</v>
      </c>
      <c r="F19">
        <f t="shared" si="0"/>
        <v>1.375</v>
      </c>
      <c r="G19">
        <f t="shared" si="0"/>
        <v>5.625</v>
      </c>
      <c r="J19">
        <f t="shared" si="0"/>
        <v>249.875</v>
      </c>
      <c r="K19">
        <f t="shared" si="0"/>
        <v>334.125</v>
      </c>
      <c r="L19">
        <f t="shared" si="0"/>
        <v>45.875</v>
      </c>
      <c r="M19">
        <f t="shared" si="0"/>
        <v>54.425000000000004</v>
      </c>
      <c r="N19">
        <f t="shared" si="0"/>
        <v>1.4000000000000001</v>
      </c>
      <c r="O19">
        <f t="shared" si="0"/>
        <v>2</v>
      </c>
      <c r="R19">
        <f t="shared" si="0"/>
        <v>243.75</v>
      </c>
      <c r="S19">
        <f t="shared" si="0"/>
        <v>336.625</v>
      </c>
      <c r="T19">
        <f t="shared" si="0"/>
        <v>362.25</v>
      </c>
      <c r="U19">
        <f t="shared" si="0"/>
        <v>445.125</v>
      </c>
      <c r="V19">
        <f t="shared" si="0"/>
        <v>1.2625</v>
      </c>
      <c r="W19">
        <f t="shared" si="0"/>
        <v>2.375</v>
      </c>
      <c r="Z19">
        <f t="shared" si="0"/>
        <v>259.5</v>
      </c>
      <c r="AA19">
        <f t="shared" si="0"/>
        <v>386</v>
      </c>
      <c r="AB19">
        <f t="shared" si="0"/>
        <v>400.5</v>
      </c>
      <c r="AC19">
        <f t="shared" si="0"/>
        <v>500</v>
      </c>
      <c r="AD19">
        <f t="shared" si="0"/>
        <v>1.2</v>
      </c>
      <c r="AE19">
        <f t="shared" si="0"/>
        <v>1.5</v>
      </c>
      <c r="AH19">
        <f t="shared" si="0"/>
        <v>255.5625</v>
      </c>
      <c r="AI19">
        <f t="shared" si="0"/>
        <v>351.9375</v>
      </c>
      <c r="AJ19">
        <f t="shared" si="0"/>
        <v>306.26249999999999</v>
      </c>
      <c r="AK19">
        <f t="shared" si="0"/>
        <v>361.7</v>
      </c>
      <c r="AL19">
        <f t="shared" si="0"/>
        <v>1.1812500000000001</v>
      </c>
      <c r="AM19">
        <f t="shared" si="0"/>
        <v>2.0625</v>
      </c>
      <c r="AP19">
        <f t="shared" si="0"/>
        <v>247.625</v>
      </c>
      <c r="AQ19">
        <f t="shared" si="0"/>
        <v>301.125</v>
      </c>
      <c r="AR19">
        <f t="shared" si="0"/>
        <v>212.4375</v>
      </c>
      <c r="AS19">
        <f t="shared" si="0"/>
        <v>226.05</v>
      </c>
      <c r="AT19">
        <f t="shared" si="0"/>
        <v>1.1125</v>
      </c>
      <c r="AU19">
        <f t="shared" si="0"/>
        <v>2.25</v>
      </c>
    </row>
    <row r="20" spans="1:47" x14ac:dyDescent="0.35">
      <c r="A20" t="s">
        <v>61</v>
      </c>
    </row>
    <row r="22" spans="1:47" x14ac:dyDescent="0.35">
      <c r="A22" t="s">
        <v>62</v>
      </c>
      <c r="B22">
        <f>AVERAGE(B19,C19)</f>
        <v>305.421875</v>
      </c>
      <c r="I22" t="s">
        <v>62</v>
      </c>
      <c r="J22">
        <f t="shared" ref="H22:AU22" si="1">AVERAGE(J19,K19)</f>
        <v>292</v>
      </c>
      <c r="Q22" t="s">
        <v>62</v>
      </c>
      <c r="R22">
        <f t="shared" si="1"/>
        <v>290.1875</v>
      </c>
      <c r="Y22" t="s">
        <v>62</v>
      </c>
      <c r="Z22">
        <f t="shared" si="1"/>
        <v>322.75</v>
      </c>
      <c r="AG22" t="s">
        <v>62</v>
      </c>
      <c r="AH22">
        <f t="shared" si="1"/>
        <v>303.75</v>
      </c>
      <c r="AO22" t="s">
        <v>62</v>
      </c>
      <c r="AP22">
        <f>AVERAGE(AP19,AQ19)</f>
        <v>274.375</v>
      </c>
    </row>
    <row r="23" spans="1:47" x14ac:dyDescent="0.35">
      <c r="A23" t="s">
        <v>63</v>
      </c>
      <c r="B23">
        <f>AVERAGE(D19,E19)</f>
        <v>166.4375</v>
      </c>
      <c r="I23" t="s">
        <v>63</v>
      </c>
      <c r="J23">
        <f t="shared" ref="J23" si="2">AVERAGE(L19,M19)</f>
        <v>50.150000000000006</v>
      </c>
      <c r="Q23" t="s">
        <v>63</v>
      </c>
      <c r="R23">
        <f t="shared" ref="R23" si="3">AVERAGE(T19,U19)</f>
        <v>403.6875</v>
      </c>
      <c r="Y23" t="s">
        <v>63</v>
      </c>
      <c r="Z23">
        <f t="shared" ref="Z23:AA23" si="4">AVERAGE(AB19,AC19)</f>
        <v>450.25</v>
      </c>
      <c r="AG23" t="s">
        <v>63</v>
      </c>
      <c r="AH23">
        <f t="shared" ref="AH23" si="5">AVERAGE(AJ19,AK19)</f>
        <v>333.98124999999999</v>
      </c>
      <c r="AO23" t="s">
        <v>63</v>
      </c>
      <c r="AP23">
        <f>AVERAGE(AR19,AS19)</f>
        <v>219.24375000000001</v>
      </c>
    </row>
    <row r="24" spans="1:47" x14ac:dyDescent="0.35">
      <c r="A24" t="s">
        <v>64</v>
      </c>
      <c r="B24">
        <f>G19</f>
        <v>5.625</v>
      </c>
      <c r="I24" t="s">
        <v>64</v>
      </c>
      <c r="J24">
        <f t="shared" ref="J24" si="6">O19</f>
        <v>2</v>
      </c>
      <c r="Q24" t="s">
        <v>64</v>
      </c>
      <c r="R24">
        <f t="shared" ref="R24" si="7">W19</f>
        <v>2.375</v>
      </c>
      <c r="Y24" t="s">
        <v>64</v>
      </c>
      <c r="Z24">
        <f t="shared" ref="Z24:AA24" si="8">AE19</f>
        <v>1.5</v>
      </c>
      <c r="AG24" t="s">
        <v>64</v>
      </c>
      <c r="AH24">
        <f t="shared" ref="AH24" si="9">AM19</f>
        <v>2.0625</v>
      </c>
      <c r="AO24" t="s">
        <v>64</v>
      </c>
      <c r="AP24">
        <f t="shared" ref="AO24:AP24" si="10">AU19</f>
        <v>2.25</v>
      </c>
    </row>
    <row r="25" spans="1:47" x14ac:dyDescent="0.35">
      <c r="A25" t="s">
        <v>65</v>
      </c>
      <c r="B25">
        <v>8</v>
      </c>
      <c r="I25" t="s">
        <v>65</v>
      </c>
      <c r="J25">
        <v>8</v>
      </c>
      <c r="Q25" t="s">
        <v>65</v>
      </c>
      <c r="R25">
        <v>8</v>
      </c>
      <c r="Y25" t="s">
        <v>65</v>
      </c>
      <c r="Z25">
        <v>2</v>
      </c>
      <c r="AG25" t="s">
        <v>65</v>
      </c>
      <c r="AH25">
        <v>16</v>
      </c>
      <c r="AO25" t="s">
        <v>65</v>
      </c>
      <c r="AP25">
        <v>8</v>
      </c>
    </row>
    <row r="37" spans="1:1" x14ac:dyDescent="0.35">
      <c r="A37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command sheet</vt:lpstr>
      <vt:lpstr>experiment data</vt:lpstr>
      <vt:lpstr>workload descriptions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Quentin T Clark</dc:creator>
  <cp:lastModifiedBy>Quentin T Clark</cp:lastModifiedBy>
  <dcterms:created xsi:type="dcterms:W3CDTF">2015-06-05T18:17:20Z</dcterms:created>
  <dcterms:modified xsi:type="dcterms:W3CDTF">2023-10-04T04:08:25Z</dcterms:modified>
</cp:coreProperties>
</file>